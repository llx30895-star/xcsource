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产品识别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rgb="FF0563C1"/>
      <sz val="11"/>
      <u val="single"/>
      <scheme val="minor"/>
    </font>
    <font>
      <name val="宋体"/>
      <charset val="134"/>
      <color rgb="FF666666"/>
      <sz val="11"/>
      <scheme val="minor"/>
    </font>
    <font>
      <name val="宋体"/>
      <charset val="134"/>
      <color rgb="FF008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4" fillId="0" borderId="0"/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2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49">
      <alignment vertical="top" wrapText="1"/>
    </xf>
    <xf numFmtId="0" fontId="4" fillId="0" borderId="0" applyAlignment="1" pivotButton="0" quotePrefix="0" xfId="49">
      <alignment vertical="top" wrapText="1"/>
    </xf>
    <xf numFmtId="0" fontId="25" fillId="0" borderId="0" applyAlignment="1" pivotButton="0" quotePrefix="0" xfId="0">
      <alignment horizontal="center" vertical="center"/>
    </xf>
    <xf numFmtId="0" fontId="3" fillId="0" borderId="0" applyAlignment="1" pivotButton="0" quotePrefix="0" xfId="49">
      <alignment vertical="center" wrapText="1"/>
    </xf>
    <xf numFmtId="0" fontId="4" fillId="0" borderId="0" applyAlignment="1" pivotButton="0" quotePrefix="0" xfId="49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F4" sqref="F4"/>
    </sheetView>
  </sheetViews>
  <sheetFormatPr baseColWidth="8" defaultColWidth="9" defaultRowHeight="13.5" outlineLevelCol="0"/>
  <cols>
    <col width="8" customWidth="1" min="1" max="1"/>
    <col width="12" customWidth="1" min="2" max="2"/>
    <col width="35" customWidth="1" min="3" max="3"/>
    <col width="50" customWidth="1" min="4" max="4"/>
    <col width="25" customWidth="1" min="5" max="5"/>
    <col width="40" customWidth="1" min="6" max="6"/>
    <col width="10" customWidth="1" min="7" max="7"/>
    <col width="20" customWidth="1" min="8" max="8"/>
    <col width="18" customWidth="1" min="9" max="9"/>
    <col width="12" customWidth="1" min="10" max="10"/>
    <col width="15" customWidth="1" min="11" max="11"/>
    <col width="12" customWidth="1" min="12" max="12"/>
    <col width="18" customWidth="1" min="13" max="13"/>
    <col width="15" customWidth="1" min="14" max="14"/>
    <col width="20" customWidth="1" min="15" max="15"/>
    <col width="25" customWidth="1" min="16" max="16"/>
    <col width="30" customWidth="1" min="17" max="17"/>
    <col width="18" customWidth="1" min="18" max="18"/>
  </cols>
  <sheetData>
    <row r="1">
      <c r="A1" s="1" t="inlineStr">
        <is>
          <t>序号</t>
        </is>
      </c>
      <c r="B1" s="1" t="inlineStr">
        <is>
          <t>添加时间</t>
        </is>
      </c>
      <c r="C1" s="1" t="inlineStr">
        <is>
          <t>图片超链接</t>
        </is>
      </c>
      <c r="D1" s="1" t="inlineStr">
        <is>
          <t>提示词</t>
        </is>
      </c>
      <c r="E1" s="1" t="inlineStr">
        <is>
          <t>中文描述</t>
        </is>
      </c>
      <c r="F1" s="1" t="inlineStr">
        <is>
          <t>英文描述</t>
        </is>
      </c>
      <c r="G1" s="1" t="inlineStr">
        <is>
          <t>是否上传</t>
        </is>
      </c>
      <c r="H1" s="6" t="inlineStr">
        <is>
          <t>记录ID</t>
        </is>
      </c>
      <c r="I1" s="6" t="inlineStr">
        <is>
          <t>流程阶段</t>
        </is>
      </c>
      <c r="J1" s="6" t="inlineStr">
        <is>
          <t>识别状态</t>
        </is>
      </c>
      <c r="K1" s="6" t="inlineStr">
        <is>
          <t>前端生成状态</t>
        </is>
      </c>
      <c r="L1" s="6" t="inlineStr">
        <is>
          <t>上传状态</t>
        </is>
      </c>
      <c r="M1" s="6" t="inlineStr">
        <is>
          <t>上传时间</t>
        </is>
      </c>
      <c r="N1" s="6" t="inlineStr">
        <is>
          <t>上传目标</t>
        </is>
      </c>
      <c r="O1" s="6" t="inlineStr">
        <is>
          <t>上传批次号</t>
        </is>
      </c>
      <c r="P1" s="6" t="inlineStr">
        <is>
          <t>上传结果</t>
        </is>
      </c>
      <c r="Q1" s="6" t="inlineStr">
        <is>
          <t>失败原因</t>
        </is>
      </c>
      <c r="R1" s="6" t="inlineStr">
        <is>
          <t>最近处理时间</t>
        </is>
      </c>
    </row>
    <row r="2" ht="94.5" customHeight="1">
      <c r="A2" s="2" t="n">
        <v>1</v>
      </c>
      <c r="B2" s="2" t="inlineStr">
        <is>
          <t>04/17</t>
        </is>
      </c>
      <c r="C2" s="3">
        <f>HYPERLINK("已上传图片/IK200101-A-16-1-7.jpg","IK200101-A-16-1-7.jpg")</f>
        <v/>
      </c>
      <c r="D2" s="7" t="inlineStr">
        <is>
          <t>极简白灰背景，单个黑色多功能开瓶器居左展示，产品为5合1多功能开瓶器，包含螺旋开瓶钻、瓶盖开启器、易拉罐拉环辅助开启结构、切割铝箔结构等；右侧是一罐黄色柠檬苏打饮料，工具正在开启易拉罐顶部；画面中加入红酒和浅色饮品飞溅弧线作为功能暗示；整体为简洁电商主图风格，干净背景，产品轮廓清晰，功能直观，突出“一把工具可用于多种开瓶/开罐场景”。</t>
        </is>
      </c>
      <c r="E2" s="7" t="inlineStr">
        <is>
          <t>5合1多功能开瓶器</t>
        </is>
      </c>
      <c r="F2" s="8" t="inlineStr">
        <is>
          <t>5-in-1 Multi-Functional Opener</t>
        </is>
      </c>
      <c r="G2" s="2" t="inlineStr">
        <is>
          <t>否</t>
        </is>
      </c>
      <c r="H2" s="2" t="inlineStr">
        <is>
          <t>PRD-UNKNOWN-2</t>
        </is>
      </c>
      <c r="I2" s="2" t="inlineStr">
        <is>
          <t>003_已回写</t>
        </is>
      </c>
      <c r="J2" s="2" t="inlineStr">
        <is>
          <t>success</t>
        </is>
      </c>
      <c r="K2" s="2" t="inlineStr">
        <is>
          <t>pending</t>
        </is>
      </c>
      <c r="L2" s="2" t="inlineStr">
        <is>
          <t>success</t>
        </is>
      </c>
      <c r="M2" s="2" t="inlineStr">
        <is>
          <t>2026-04-17 16:10:01</t>
        </is>
      </c>
      <c r="N2" s="2" t="inlineStr">
        <is>
          <t>manual</t>
        </is>
      </c>
      <c r="O2" s="2" t="inlineStr">
        <is>
          <t>UP-20260417-161001</t>
        </is>
      </c>
      <c r="P2" s="2" t="inlineStr">
        <is>
          <t>人工确认已上传: IK200101-A-16-1-7.jpg -&gt; manual</t>
        </is>
      </c>
      <c r="Q2" s="2" t="inlineStr"/>
      <c r="R2" s="2" t="inlineStr">
        <is>
          <t>2026-04-17 16:10:01</t>
        </is>
      </c>
    </row>
    <row r="3" ht="67.5" customHeight="1">
      <c r="A3" s="2" t="n">
        <v>2</v>
      </c>
      <c r="B3" s="2" t="inlineStr">
        <is>
          <t>04/17</t>
        </is>
      </c>
      <c r="C3" s="3">
        <f>HYPERLINK("已上传图片/IK2036-A-16-mian01.jpg","IK2036-A-16-mian01.jpg")</f>
        <v/>
      </c>
      <c r="D3" s="7" t="inlineStr">
        <is>
          <t>室内家居场景，浅灰色墙面带欧式线条装饰，木地板；一张黑白配色的现代化妆桌居中摆放，配有矩形镜子、两侧开放式收纳层架、多个抽屉和一个带白色坐垫的小凳子；桌面摆放口红、刷具、香水和小型化妆品；整体为北欧/现代简约风格，光线均匀，构图对称，突出储物功能和梳妆场景。</t>
        </is>
      </c>
      <c r="E3" s="7" t="inlineStr">
        <is>
          <t>化妆桌</t>
        </is>
      </c>
      <c r="F3" s="8" t="inlineStr">
        <is>
          <t>Vanity Table with Mirror and Stool</t>
        </is>
      </c>
      <c r="G3" s="2" t="inlineStr">
        <is>
          <t>否</t>
        </is>
      </c>
      <c r="H3" s="2" t="inlineStr">
        <is>
          <t>PRD-UNKNOWN-3</t>
        </is>
      </c>
      <c r="I3" s="2" t="inlineStr">
        <is>
          <t>003_已回写</t>
        </is>
      </c>
      <c r="J3" s="2" t="inlineStr">
        <is>
          <t>success</t>
        </is>
      </c>
      <c r="K3" s="2" t="inlineStr">
        <is>
          <t>pending</t>
        </is>
      </c>
      <c r="L3" s="2" t="inlineStr">
        <is>
          <t>success</t>
        </is>
      </c>
      <c r="M3" s="2" t="inlineStr">
        <is>
          <t>2026-04-17 16:10:01</t>
        </is>
      </c>
      <c r="N3" s="2" t="inlineStr">
        <is>
          <t>manual</t>
        </is>
      </c>
      <c r="O3" s="2" t="inlineStr">
        <is>
          <t>UP-20260417-161001</t>
        </is>
      </c>
      <c r="P3" s="2" t="inlineStr">
        <is>
          <t>人工确认已上传: IK2036-A-16-mian01.jpg -&gt; manual</t>
        </is>
      </c>
      <c r="Q3" s="2" t="inlineStr"/>
      <c r="R3" s="2" t="inlineStr">
        <is>
          <t>2026-04-17 16:10:01</t>
        </is>
      </c>
    </row>
    <row r="4" ht="94.5" customHeight="1">
      <c r="A4" s="2" t="n">
        <v>3</v>
      </c>
      <c r="B4" s="2" t="inlineStr">
        <is>
          <t>04/17</t>
        </is>
      </c>
      <c r="C4" s="3">
        <f>HYPERLINK("已上传图片/IK500302-A-16-1-2.jpg","IK500302-A-16-1-2.jpg")</f>
        <v/>
      </c>
      <c r="D4" s="7" t="inlineStr">
        <is>
          <t>明亮家居厨房/餐厅角落场景，浅色墙面、木地板，左侧有窗户自然光；一款黑色金属框架搭配棕色木纹层板的多层厨房储物架，中央留出小冰箱空间，架上摆放微波炉、咖啡机、咖啡壶、烤面包机、零食盒、饮料罐、书籍、藤编收纳篮等；左侧有网篮和饮料收纳层，右侧有多层小家电和收纳架；整体为工业风/现代家居风格，突出储物分区与厨房电器收纳功能。</t>
        </is>
      </c>
      <c r="E4" s="7" t="inlineStr">
        <is>
          <t>厨房储物架</t>
        </is>
      </c>
      <c r="F4" s="8" t="inlineStr">
        <is>
          <t>Kitchen Baker’s Rack with Fridge Space</t>
        </is>
      </c>
      <c r="G4" s="2" t="inlineStr">
        <is>
          <t>否</t>
        </is>
      </c>
      <c r="H4" s="2" t="inlineStr">
        <is>
          <t>PRD-UNKNOWN-4</t>
        </is>
      </c>
      <c r="I4" s="2" t="inlineStr">
        <is>
          <t>003_已回写</t>
        </is>
      </c>
      <c r="J4" s="2" t="inlineStr">
        <is>
          <t>success</t>
        </is>
      </c>
      <c r="K4" s="2" t="inlineStr">
        <is>
          <t>pending</t>
        </is>
      </c>
      <c r="L4" s="2" t="inlineStr">
        <is>
          <t>success</t>
        </is>
      </c>
      <c r="M4" s="2" t="inlineStr">
        <is>
          <t>2026-04-17 16:21:03</t>
        </is>
      </c>
      <c r="N4" s="2" t="inlineStr">
        <is>
          <t>local_outbox</t>
        </is>
      </c>
      <c r="O4" s="2" t="inlineStr">
        <is>
          <t>UP-20260417-162103</t>
        </is>
      </c>
      <c r="P4" s="2" t="inlineStr">
        <is>
          <t>已复制到 003 上传目录: C:\Users\Win11\Desktop\XCSOURCE\assets\products\uploaded_by_003\UP-20260417-162103\PRD-UNKNOWN-4\IK500302-A-16-1-2.jpg</t>
        </is>
      </c>
      <c r="Q4" s="2" t="inlineStr"/>
      <c r="R4" s="2" t="inlineStr">
        <is>
          <t>2026-04-17 16:21:03</t>
        </is>
      </c>
    </row>
    <row r="5" ht="94.5" customHeight="1">
      <c r="A5" s="2" t="n">
        <v>4</v>
      </c>
      <c r="B5" s="2" t="inlineStr">
        <is>
          <t>04/17</t>
        </is>
      </c>
      <c r="C5" s="3">
        <f>HYPERLINK("已上传图片/IK600209-A-16-1-1.jpg","IK600209-A-16-1-1.jpg")</f>
        <v/>
      </c>
      <c r="D5" s="7" t="inlineStr">
        <is>
          <t>简洁室内场景，浅色墙面、木地板；一款黑色金属框架配棕色木纹台面的多层工作台，台面上放置两台3D打印设备，一台封闭式3D打印机正在打印黄色花瓶，另一台开放式3D打印机正在打印蓝色猫头鹰模型；上层搁板摆放装饰摆件和花瓶；下层与侧边收纳大量不同颜色的打印耗材线轴、工具箱、储物箱等；整体为现代工业风，突出3D打印工作区与耗材收纳功能。</t>
        </is>
      </c>
      <c r="E5" s="7" t="inlineStr">
        <is>
          <t>3D打印工作台</t>
        </is>
      </c>
      <c r="F5" s="8" t="inlineStr">
        <is>
          <t>3D Printer Storage Workbench</t>
        </is>
      </c>
      <c r="G5" s="2" t="inlineStr">
        <is>
          <t>否</t>
        </is>
      </c>
      <c r="H5" s="2" t="inlineStr">
        <is>
          <t>PRD-UNKNOWN-5</t>
        </is>
      </c>
      <c r="I5" s="2" t="inlineStr">
        <is>
          <t>003_已回写</t>
        </is>
      </c>
      <c r="J5" s="2" t="inlineStr">
        <is>
          <t>success</t>
        </is>
      </c>
      <c r="K5" s="2" t="inlineStr">
        <is>
          <t>pending</t>
        </is>
      </c>
      <c r="L5" s="2" t="inlineStr">
        <is>
          <t>success</t>
        </is>
      </c>
      <c r="M5" s="2" t="inlineStr">
        <is>
          <t>2026-04-17 16:28:37</t>
        </is>
      </c>
      <c r="N5" s="2" t="inlineStr">
        <is>
          <t>github_pages</t>
        </is>
      </c>
      <c r="O5" s="2" t="inlineStr">
        <is>
          <t>UP-20260417-162837</t>
        </is>
      </c>
      <c r="P5" s="2" t="inlineStr">
        <is>
          <t>已复制到 003 上传目录: C:\Users\Win11\Desktop\XCSOURCE\assets\products\uploaded_by_003\UP-20260417-162837\PRD-UNKNOWN-5\IK600209-A-16-1-1.jpg</t>
        </is>
      </c>
      <c r="Q5" s="2" t="inlineStr"/>
      <c r="R5" s="2" t="inlineStr">
        <is>
          <t>2026-04-17 16:28:37</t>
        </is>
      </c>
    </row>
    <row r="6" ht="67.5" customHeight="1">
      <c r="A6" s="2" t="n">
        <v>5</v>
      </c>
      <c r="B6" s="2" t="inlineStr">
        <is>
          <t>04/17</t>
        </is>
      </c>
      <c r="C6" s="3">
        <f>HYPERLINK("已上传图片/IK800301-A-16-1-1.jpg","IK800301-A-16-1-1.jpg")</f>
        <v/>
      </c>
      <c r="D6" s="7" t="inlineStr">
        <is>
          <t>温馨儿童房场景，浅黄色/米色墙面，彩旗、星星墙饰、木地板和圆形地毯；左侧是白色金属框架的玩偶收纳笼和层架，中间及底部摆放毛绒玩具和书本；右侧是斜插式儿童绘本展示架，底部带抽屉；整体为柔和色调，适合儿童房，突出绘本收纳、玩具展示和整理功能。</t>
        </is>
      </c>
      <c r="E6" s="7" t="inlineStr">
        <is>
          <t>儿童书架与玩具收纳架</t>
        </is>
      </c>
      <c r="F6" s="8" t="inlineStr">
        <is>
          <t>Kids’ Bookshelf and Toy Organizer</t>
        </is>
      </c>
      <c r="G6" s="2" t="inlineStr">
        <is>
          <t>否</t>
        </is>
      </c>
      <c r="H6" s="2" t="inlineStr">
        <is>
          <t>PRD-UNKNOWN-6</t>
        </is>
      </c>
      <c r="I6" s="2" t="inlineStr">
        <is>
          <t>003_已回写</t>
        </is>
      </c>
      <c r="J6" s="2" t="inlineStr">
        <is>
          <t>success</t>
        </is>
      </c>
      <c r="K6" s="2" t="inlineStr">
        <is>
          <t>pending</t>
        </is>
      </c>
      <c r="L6" s="2" t="inlineStr">
        <is>
          <t>success</t>
        </is>
      </c>
      <c r="M6" s="2" t="inlineStr">
        <is>
          <t>2026-04-17 16:36:32</t>
        </is>
      </c>
      <c r="N6" s="2" t="inlineStr">
        <is>
          <t>github_pages</t>
        </is>
      </c>
      <c r="O6" s="2" t="inlineStr">
        <is>
          <t>UP-20260417-163632</t>
        </is>
      </c>
      <c r="P6" s="2" t="inlineStr">
        <is>
          <t>已复制到 003 上传目录: C:\Users\Win11\Desktop\XCSOURCE\assets\products\uploaded_by_003\UP-20260417-163632\PRD-UNKNOWN-6\IK800301-A-16-1-1.jpg</t>
        </is>
      </c>
      <c r="Q6" s="2" t="inlineStr"/>
      <c r="R6" s="2" t="inlineStr">
        <is>
          <t>2026-04-17 16:36:32</t>
        </is>
      </c>
    </row>
    <row r="7" ht="67.5" customHeight="1">
      <c r="A7" s="2" t="n">
        <v>6</v>
      </c>
      <c r="B7" s="2" t="inlineStr">
        <is>
          <t>04/17</t>
        </is>
      </c>
      <c r="C7" s="3">
        <f>HYPERLINK("已上传图片/IK800603-A-16-2-1.jpg","IK800603-A-16-2-1.jpg")</f>
        <v/>
      </c>
      <c r="D7" s="7" t="inlineStr">
        <is>
          <t>明亮室内角落场景，自然光从左侧窗户照入，米白色墙面、木地板，右侧有木质边柜和装饰画，地面有浇水壶；一款黑色金属框架搭配木纹层板的多层植物架，呈不规则层级布局，摆放多盆不同种类和高度的绿植及开花植物；整体为现代自然风/北欧风格，突出植物展示与空间美化效果。</t>
        </is>
      </c>
      <c r="E7" s="7" t="inlineStr">
        <is>
          <t>多层植物架</t>
        </is>
      </c>
      <c r="F7" s="8" t="inlineStr">
        <is>
          <t>Indoor Plant Stand</t>
        </is>
      </c>
      <c r="G7" s="2" t="inlineStr">
        <is>
          <t>否</t>
        </is>
      </c>
      <c r="H7" s="2" t="inlineStr"/>
      <c r="I7" s="2" t="inlineStr">
        <is>
          <t>003_已回写</t>
        </is>
      </c>
      <c r="J7" s="2" t="inlineStr">
        <is>
          <t>success</t>
        </is>
      </c>
      <c r="K7" s="2" t="inlineStr">
        <is>
          <t>pending</t>
        </is>
      </c>
      <c r="L7" s="2" t="inlineStr">
        <is>
          <t>success</t>
        </is>
      </c>
      <c r="M7" s="2" t="inlineStr">
        <is>
          <t>2026-04-17 16:00:32</t>
        </is>
      </c>
      <c r="N7" s="2" t="inlineStr">
        <is>
          <t>github_pages</t>
        </is>
      </c>
      <c r="O7" s="2" t="inlineStr">
        <is>
          <t>UP-20260417-160032</t>
        </is>
      </c>
      <c r="P7" s="2" t="inlineStr">
        <is>
          <t>模拟上传成功</t>
        </is>
      </c>
      <c r="Q7" s="2" t="inlineStr"/>
      <c r="R7" s="2" t="inlineStr">
        <is>
          <t>2026-04-17 16:00:32</t>
        </is>
      </c>
    </row>
    <row r="8" ht="81" customHeight="1">
      <c r="A8" s="2" t="n">
        <v>7</v>
      </c>
      <c r="B8" s="2" t="inlineStr">
        <is>
          <t>04/17</t>
        </is>
      </c>
      <c r="C8" s="3">
        <f>HYPERLINK("已上传图片/IK905601-A-16-1-3.jpg","IK905601-A-16-1-3.jpg")</f>
        <v/>
      </c>
      <c r="D8" s="7" t="inlineStr">
        <is>
          <t>室内音乐角落场景，米白色墙面、木地板，左侧放置木吉他，墙上挂有黑胶唱片和音乐海报；中央是一款复古木纹色调的黑胶唱片收纳架，顶部摆放复古唱片机，中上部放置书籍、音箱和音响设备，中下部和底部多个格子中竖直收纳多张黑胶唱片；右侧挂有耳机，整体为复古/工业风，突出黑胶收藏和音乐空间氛围。</t>
        </is>
      </c>
      <c r="E8" s="7" t="inlineStr">
        <is>
          <t>黑胶唱片收纳架</t>
        </is>
      </c>
      <c r="F8" s="8" t="inlineStr">
        <is>
          <t>Vinyl Record Storage Shelf</t>
        </is>
      </c>
      <c r="G8" s="2" t="inlineStr">
        <is>
          <t>否</t>
        </is>
      </c>
      <c r="H8" s="2" t="inlineStr"/>
      <c r="I8" s="2" t="inlineStr">
        <is>
          <t>003_已回写</t>
        </is>
      </c>
      <c r="J8" s="2" t="inlineStr">
        <is>
          <t>success</t>
        </is>
      </c>
      <c r="K8" s="2" t="inlineStr">
        <is>
          <t>pending</t>
        </is>
      </c>
      <c r="L8" s="2" t="inlineStr">
        <is>
          <t>success</t>
        </is>
      </c>
      <c r="M8" s="2" t="inlineStr">
        <is>
          <t>2026-04-17 16:00:32</t>
        </is>
      </c>
      <c r="N8" s="2" t="inlineStr">
        <is>
          <t>github_pages</t>
        </is>
      </c>
      <c r="O8" s="2" t="inlineStr">
        <is>
          <t>UP-20260417-160032</t>
        </is>
      </c>
      <c r="P8" s="2" t="inlineStr">
        <is>
          <t>模拟上传成功</t>
        </is>
      </c>
      <c r="Q8" s="2" t="inlineStr"/>
      <c r="R8" s="2" t="inlineStr">
        <is>
          <t>2026-04-17 16:00:32</t>
        </is>
      </c>
    </row>
    <row r="9" ht="67.5" customHeight="1">
      <c r="A9" s="2" t="n">
        <v>8</v>
      </c>
      <c r="B9" s="2" t="inlineStr">
        <is>
          <t>04/17</t>
        </is>
      </c>
      <c r="C9" s="3">
        <f>HYPERLINK("已上传图片/IK905701-A-16-2.jpg","IK905701-A-16-2.jpg")</f>
        <v/>
      </c>
      <c r="D9" s="7" t="inlineStr">
        <is>
          <t>室内健身场景，浅灰色墙面、木地板，右侧局部可见健身器械；一款黑色金属框架的多层滚轮收纳车，顶部放置瑜伽球、哑铃，侧边挂有瑜伽垫和泡沫轴，层架上摆放多组哑铃、壶铃、瑜伽砖、按摩垫、平衡垫、阻力带等健身器材；整体为简洁现代风格，突出收纳功能和移动性。</t>
        </is>
      </c>
      <c r="E9" s="7" t="inlineStr">
        <is>
          <t>健身器材收纳车</t>
        </is>
      </c>
      <c r="F9" s="8" t="inlineStr">
        <is>
          <t>Rolling Gym Equipment Organizer</t>
        </is>
      </c>
      <c r="G9" s="2" t="inlineStr">
        <is>
          <t>否</t>
        </is>
      </c>
      <c r="H9" s="2" t="inlineStr"/>
      <c r="I9" s="2" t="inlineStr">
        <is>
          <t>003_已回写</t>
        </is>
      </c>
      <c r="J9" s="2" t="inlineStr">
        <is>
          <t>success</t>
        </is>
      </c>
      <c r="K9" s="2" t="inlineStr">
        <is>
          <t>pending</t>
        </is>
      </c>
      <c r="L9" s="2" t="inlineStr">
        <is>
          <t>success</t>
        </is>
      </c>
      <c r="M9" s="2" t="inlineStr">
        <is>
          <t>2026-04-17 16:00:32</t>
        </is>
      </c>
      <c r="N9" s="2" t="inlineStr">
        <is>
          <t>github_pages</t>
        </is>
      </c>
      <c r="O9" s="2" t="inlineStr">
        <is>
          <t>UP-20260417-160032</t>
        </is>
      </c>
      <c r="P9" s="2" t="inlineStr">
        <is>
          <t>模拟上传成功</t>
        </is>
      </c>
      <c r="Q9" s="2" t="inlineStr"/>
      <c r="R9" s="2" t="inlineStr">
        <is>
          <t>2026-04-17 16:00:32</t>
        </is>
      </c>
    </row>
    <row r="10" ht="67.5" customHeight="1">
      <c r="A10" s="2" t="n">
        <v>9</v>
      </c>
      <c r="B10" s="2" t="inlineStr">
        <is>
          <t>04/17</t>
        </is>
      </c>
      <c r="C10" s="3">
        <f>HYPERLINK("已上传图片/MICEPLAY_B0FQNVFKH4__Adjustable-Puzzle-Frame.jpg","MICEPLAY_B0FQNVFKH4__Adjustable-Puzzle-Frame.jpg")</f>
        <v/>
      </c>
      <c r="D10" s="7" t="inlineStr">
        <is>
          <t>一张完整拼图铺在平面背景上，画面是色彩丰富的室内风景图；上方叠加两个黑色边框用于展示尺寸调整效果，左侧较小框标注“Min: 19x27in”，右侧较大框标注“Max: 27x39in”，配有箭头表示可调节；整体为产品信息展示风格，突出拼图框的尺寸调节范围和适配能力。</t>
        </is>
      </c>
      <c r="E10" s="7" t="inlineStr">
        <is>
          <t>可调节拼图框</t>
        </is>
      </c>
      <c r="F10" s="8" t="inlineStr">
        <is>
          <t>Adjustable Puzzle Frame</t>
        </is>
      </c>
      <c r="G10" s="2" t="inlineStr">
        <is>
          <t>否</t>
        </is>
      </c>
      <c r="H10" s="2" t="inlineStr"/>
      <c r="I10" s="2" t="inlineStr">
        <is>
          <t>003_已回写</t>
        </is>
      </c>
      <c r="J10" s="2" t="inlineStr">
        <is>
          <t>success</t>
        </is>
      </c>
      <c r="K10" s="2" t="inlineStr">
        <is>
          <t>pending</t>
        </is>
      </c>
      <c r="L10" s="2" t="inlineStr">
        <is>
          <t>success</t>
        </is>
      </c>
      <c r="M10" s="2" t="inlineStr">
        <is>
          <t>2026-04-17 16:00:32</t>
        </is>
      </c>
      <c r="N10" s="2" t="inlineStr">
        <is>
          <t>github_pages</t>
        </is>
      </c>
      <c r="O10" s="2" t="inlineStr">
        <is>
          <t>UP-20260417-160032</t>
        </is>
      </c>
      <c r="P10" s="2" t="inlineStr">
        <is>
          <t>模拟上传成功</t>
        </is>
      </c>
      <c r="Q10" s="2" t="inlineStr"/>
      <c r="R10" s="2" t="inlineStr">
        <is>
          <t>2026-04-17 16:00:32</t>
        </is>
      </c>
    </row>
    <row r="11" ht="67.5" customHeight="1">
      <c r="A11" s="2" t="n">
        <v>10</v>
      </c>
      <c r="B11" s="2" t="inlineStr">
        <is>
          <t>04/17</t>
        </is>
      </c>
      <c r="C11" s="3">
        <f>HYPERLINK("已上传图片/MICEPLAY_B0G2B7H7TB__Swivel-Hammock-Swing-Chair-with-Stand.jpg","MICEPLAY_B0G2B7H7TB__Swivel-Hammock-Swing-Chair-with-Stand.jpg")</f>
        <v/>
      </c>
      <c r="D11" s="7" t="inlineStr">
        <is>
          <t>温馨圣诞节家居场景，室内有壁炉、圣诞树和礼物盒，木地板与地毯；一位女性穿白色毛衣和帽子，坐在蓝色布艺吊椅中，手持书本微笑阅读；吊椅安装在黑色金属支架上，底部有橙色箭头表示360°或旋转功能；整体光线柔和温暖，突出舒适性与节日氛围。</t>
        </is>
      </c>
      <c r="E11" s="7" t="inlineStr">
        <is>
          <t>带支架旋转吊椅（人物场景）</t>
        </is>
      </c>
      <c r="F11" s="8" t="inlineStr">
        <is>
          <t>Swivel Hammock Swing Chair with Stand (Lifestyle)</t>
        </is>
      </c>
      <c r="G11" s="2" t="inlineStr">
        <is>
          <t>否</t>
        </is>
      </c>
      <c r="H11" s="2" t="inlineStr"/>
      <c r="I11" s="2" t="inlineStr">
        <is>
          <t>003_已回写</t>
        </is>
      </c>
      <c r="J11" s="2" t="inlineStr">
        <is>
          <t>success</t>
        </is>
      </c>
      <c r="K11" s="2" t="inlineStr">
        <is>
          <t>pending</t>
        </is>
      </c>
      <c r="L11" s="2" t="inlineStr">
        <is>
          <t>success</t>
        </is>
      </c>
      <c r="M11" s="2" t="inlineStr">
        <is>
          <t>2026-04-17 16:00:32</t>
        </is>
      </c>
      <c r="N11" s="2" t="inlineStr">
        <is>
          <t>github_pages</t>
        </is>
      </c>
      <c r="O11" s="2" t="inlineStr">
        <is>
          <t>UP-20260417-160032</t>
        </is>
      </c>
      <c r="P11" s="2" t="inlineStr">
        <is>
          <t>模拟上传成功</t>
        </is>
      </c>
      <c r="Q11" s="2" t="inlineStr"/>
      <c r="R11" s="2" t="inlineStr">
        <is>
          <t>2026-04-17 16:00:32</t>
        </is>
      </c>
    </row>
    <row r="12" ht="67.5" customHeight="1">
      <c r="A12" s="2" t="n">
        <v>11</v>
      </c>
      <c r="B12" s="2" t="inlineStr">
        <is>
          <t>04/17</t>
        </is>
      </c>
      <c r="C12" s="3">
        <f>HYPERLINK("已上传图片/SH413-A-16-main1.jpg","SH413-A-16-main1.jpg")</f>
        <v/>
      </c>
      <c r="D12" s="7" t="inlineStr">
        <is>
          <t>极简桌面静物场景，浅灰/浅紫灰背景，桌面为浅色或纹理台面；一款黑色圆柱形手冲或压滤式咖啡壶位于画面右侧，左侧有白色咖啡杯和碟子，背景有少量模糊植物或玻璃瓶；整体为简约、高级、安静的咖啡美学风格，突出黑色壶体、直线把手和现代设计。</t>
        </is>
      </c>
      <c r="E12" s="7" t="inlineStr">
        <is>
          <t>黑色咖啡壶/压滤壶</t>
        </is>
      </c>
      <c r="F12" s="8" t="inlineStr">
        <is>
          <t>Black Coffee Maker / French Press-style Pot</t>
        </is>
      </c>
      <c r="G12" s="2" t="inlineStr">
        <is>
          <t>否</t>
        </is>
      </c>
      <c r="H12" s="2" t="inlineStr"/>
      <c r="I12" s="2" t="inlineStr">
        <is>
          <t>003_已回写</t>
        </is>
      </c>
      <c r="J12" s="2" t="inlineStr">
        <is>
          <t>success</t>
        </is>
      </c>
      <c r="K12" s="2" t="inlineStr">
        <is>
          <t>pending</t>
        </is>
      </c>
      <c r="L12" s="2" t="inlineStr">
        <is>
          <t>success</t>
        </is>
      </c>
      <c r="M12" s="2" t="inlineStr">
        <is>
          <t>2026-04-17 16:00:32</t>
        </is>
      </c>
      <c r="N12" s="2" t="inlineStr">
        <is>
          <t>github_pages</t>
        </is>
      </c>
      <c r="O12" s="2" t="inlineStr">
        <is>
          <t>UP-20260417-160032</t>
        </is>
      </c>
      <c r="P12" s="2" t="inlineStr">
        <is>
          <t>模拟上传成功</t>
        </is>
      </c>
      <c r="Q12" s="2" t="inlineStr"/>
      <c r="R12" s="2" t="inlineStr">
        <is>
          <t>2026-04-17 16:00:32</t>
        </is>
      </c>
    </row>
    <row r="13" ht="67.5" customHeight="1">
      <c r="A13" s="2" t="n">
        <v>12</v>
      </c>
      <c r="B13" s="2" t="inlineStr">
        <is>
          <t>04/17</t>
        </is>
      </c>
      <c r="C13" s="3">
        <f>HYPERLINK("已上传图片/SM100102-A-16-1-1.jpg","SM100102-A-16-1-1.jpg")</f>
        <v/>
      </c>
      <c r="D13" s="7" t="inlineStr">
        <is>
          <t>极简咖啡桌面场景，浅色背景、木质桌面；一款透明玻璃手冲壶/咖啡分享壶位于画面中央，壶口配金属滤网或滤杯，底部有已萃取的黑咖啡；左侧有白色咖啡杯；背景有玻璃瓶和少量咖啡豆罐；整体为简洁、安静、现代咖啡美学风格，突出手冲咖啡器具的透明质感和冲泡效果。</t>
        </is>
      </c>
      <c r="E13" s="7" t="inlineStr">
        <is>
          <t>手冲咖啡壶套装</t>
        </is>
      </c>
      <c r="F13" s="8" t="inlineStr">
        <is>
          <t>Pour-Over Coffee Carafe with Filter</t>
        </is>
      </c>
      <c r="G13" s="2" t="inlineStr">
        <is>
          <t>否</t>
        </is>
      </c>
      <c r="H13" s="2" t="inlineStr"/>
      <c r="I13" s="2" t="inlineStr">
        <is>
          <t>003_已回写</t>
        </is>
      </c>
      <c r="J13" s="2" t="inlineStr">
        <is>
          <t>success</t>
        </is>
      </c>
      <c r="K13" s="2" t="inlineStr">
        <is>
          <t>pending</t>
        </is>
      </c>
      <c r="L13" s="2" t="inlineStr">
        <is>
          <t>success</t>
        </is>
      </c>
      <c r="M13" s="2" t="inlineStr">
        <is>
          <t>2026-04-17 16:00:32</t>
        </is>
      </c>
      <c r="N13" s="2" t="inlineStr">
        <is>
          <t>github_pages</t>
        </is>
      </c>
      <c r="O13" s="2" t="inlineStr">
        <is>
          <t>UP-20260417-160032</t>
        </is>
      </c>
      <c r="P13" s="2" t="inlineStr">
        <is>
          <t>模拟上传成功</t>
        </is>
      </c>
      <c r="Q13" s="2" t="inlineStr"/>
      <c r="R13" s="2" t="inlineStr">
        <is>
          <t>2026-04-17 16:00:32</t>
        </is>
      </c>
    </row>
    <row r="14" ht="54" customHeight="1">
      <c r="A14" s="2" t="n">
        <v>13</v>
      </c>
      <c r="B14" s="2" t="inlineStr">
        <is>
          <t>04/17</t>
        </is>
      </c>
      <c r="C14" s="3">
        <f>HYPERLINK("已上传图片/product-12.jpg","product-12.jpg")</f>
        <v/>
      </c>
      <c r="D14" s="7" t="inlineStr">
        <is>
          <t>木质桌面场景，背景柔和模糊；一款透明手摇咖啡研磨器位于画面中央，内部装有咖啡粉或咖啡豆，旁边放有一个装咖啡豆的小透明罐，机身带品牌标识；整体为咖啡器具静物风格，突出透明材质、手摇结构和便携性。</t>
        </is>
      </c>
      <c r="E14" s="7" t="inlineStr">
        <is>
          <t>手摇咖啡研磨器</t>
        </is>
      </c>
      <c r="F14" s="8" t="inlineStr">
        <is>
          <t>Manual Coffee Grinder</t>
        </is>
      </c>
      <c r="G14" s="2" t="inlineStr">
        <is>
          <t>否</t>
        </is>
      </c>
      <c r="H14" s="2" t="inlineStr"/>
      <c r="I14" s="2" t="inlineStr">
        <is>
          <t>003_已回写</t>
        </is>
      </c>
      <c r="J14" s="2" t="inlineStr">
        <is>
          <t>success</t>
        </is>
      </c>
      <c r="K14" s="2" t="inlineStr">
        <is>
          <t>pending</t>
        </is>
      </c>
      <c r="L14" s="2" t="inlineStr">
        <is>
          <t>success</t>
        </is>
      </c>
      <c r="M14" s="2" t="inlineStr">
        <is>
          <t>2026-04-17 16:00:32</t>
        </is>
      </c>
      <c r="N14" s="2" t="inlineStr">
        <is>
          <t>github_pages</t>
        </is>
      </c>
      <c r="O14" s="2" t="inlineStr">
        <is>
          <t>UP-20260417-160032</t>
        </is>
      </c>
      <c r="P14" s="2" t="inlineStr">
        <is>
          <t>模拟上传成功</t>
        </is>
      </c>
      <c r="Q14" s="2" t="inlineStr"/>
      <c r="R14" s="2" t="inlineStr">
        <is>
          <t>2026-04-17 16:00:32</t>
        </is>
      </c>
    </row>
    <row r="15" ht="54" customHeight="1">
      <c r="A15" s="2" t="n">
        <v>14</v>
      </c>
      <c r="B15" s="2" t="inlineStr">
        <is>
          <t>04/17</t>
        </is>
      </c>
      <c r="C15" s="3">
        <f>HYPERLINK("已上传图片/product-13.jpg","product-13.jpg")</f>
        <v/>
      </c>
      <c r="D15" s="7" t="inlineStr">
        <is>
          <t>木质桌面，浅色背景，玻璃法压壶内装深色咖啡，右侧放一杯带冰块的冰咖啡，背景有少量植物或玻璃器皿；整体为简洁、现代的咖啡静物场景，突出法压壶的透明玻璃壶体、黑色上盖和冰咖啡效果。</t>
        </is>
      </c>
      <c r="E15" s="7" t="inlineStr">
        <is>
          <t>法压壶</t>
        </is>
      </c>
      <c r="F15" s="8" t="inlineStr">
        <is>
          <t>French Press with Iced Coffee</t>
        </is>
      </c>
      <c r="G15" s="2" t="inlineStr">
        <is>
          <t>否</t>
        </is>
      </c>
      <c r="H15" s="2" t="inlineStr"/>
      <c r="I15" s="2" t="inlineStr">
        <is>
          <t>003_已回写</t>
        </is>
      </c>
      <c r="J15" s="2" t="inlineStr">
        <is>
          <t>success</t>
        </is>
      </c>
      <c r="K15" s="2" t="inlineStr">
        <is>
          <t>pending</t>
        </is>
      </c>
      <c r="L15" s="2" t="inlineStr">
        <is>
          <t>success</t>
        </is>
      </c>
      <c r="M15" s="2" t="inlineStr">
        <is>
          <t>2026-04-17 16:00:32</t>
        </is>
      </c>
      <c r="N15" s="2" t="inlineStr">
        <is>
          <t>github_pages</t>
        </is>
      </c>
      <c r="O15" s="2" t="inlineStr">
        <is>
          <t>UP-20260417-160032</t>
        </is>
      </c>
      <c r="P15" s="2" t="inlineStr">
        <is>
          <t>模拟上传成功</t>
        </is>
      </c>
      <c r="Q15" s="2" t="inlineStr"/>
      <c r="R15" s="2" t="inlineStr">
        <is>
          <t>2026-04-17 16:00:32</t>
        </is>
      </c>
    </row>
    <row r="16" ht="40.5" customHeight="1">
      <c r="A16" s="2" t="n">
        <v>15</v>
      </c>
      <c r="B16" s="2" t="inlineStr">
        <is>
          <t>04/17</t>
        </is>
      </c>
      <c r="C16" s="3">
        <f>HYPERLINK("已上传图片/product-14.jpg","product-14.jpg")</f>
        <v/>
      </c>
      <c r="D16" s="7" t="inlineStr">
        <is>
          <t>小尺寸缩略图风格，黑色手摇磨豆机置于画面中央，旁边有散落咖啡豆，背景有居家或模糊人物场景；整体强调便携和手摇结构，适合作为产品功能小图或详情页插图。</t>
        </is>
      </c>
      <c r="E16" s="7" t="inlineStr">
        <is>
          <t>便携手摇磨豆机（缩略图）</t>
        </is>
      </c>
      <c r="F16" s="8" t="inlineStr">
        <is>
          <t>Portable Manual Coffee Grinder (Thumbnail)</t>
        </is>
      </c>
      <c r="G16" s="2" t="inlineStr">
        <is>
          <t>否</t>
        </is>
      </c>
      <c r="H16" s="2" t="inlineStr"/>
      <c r="I16" s="2" t="inlineStr">
        <is>
          <t>003_已回写</t>
        </is>
      </c>
      <c r="J16" s="2" t="inlineStr">
        <is>
          <t>success</t>
        </is>
      </c>
      <c r="K16" s="2" t="inlineStr">
        <is>
          <t>pending</t>
        </is>
      </c>
      <c r="L16" s="2" t="inlineStr">
        <is>
          <t>success</t>
        </is>
      </c>
      <c r="M16" s="2" t="inlineStr">
        <is>
          <t>2026-04-17 16:00:32</t>
        </is>
      </c>
      <c r="N16" s="2" t="inlineStr">
        <is>
          <t>github_pages</t>
        </is>
      </c>
      <c r="O16" s="2" t="inlineStr">
        <is>
          <t>UP-20260417-160032</t>
        </is>
      </c>
      <c r="P16" s="2" t="inlineStr">
        <is>
          <t>模拟上传成功</t>
        </is>
      </c>
      <c r="Q16" s="2" t="inlineStr"/>
      <c r="R16" s="2" t="inlineStr">
        <is>
          <t>2026-04-17 16:00:32</t>
        </is>
      </c>
    </row>
    <row r="17" ht="40.5" customHeight="1">
      <c r="A17" s="2" t="n">
        <v>16</v>
      </c>
      <c r="B17" s="2" t="inlineStr">
        <is>
          <t>04/17</t>
        </is>
      </c>
      <c r="C17" s="3">
        <f>HYPERLINK("已上传图片/product-15.jpg","product-15.jpg")</f>
        <v/>
      </c>
      <c r="D17" s="7" t="inlineStr">
        <is>
          <t>小尺寸缩略图，桌面上摆放透明玻璃冰滴/冷萃咖啡器，顶部有冰块或冷萃结构，旁边有一杯分层冰咖啡，背景为浅色居家环境；整体突出冷萃咖啡制作和清凉饮品效果。</t>
        </is>
      </c>
      <c r="E17" s="7" t="inlineStr">
        <is>
          <t>冰滴/冷萃咖啡器（缩略图）</t>
        </is>
      </c>
      <c r="F17" s="8" t="inlineStr">
        <is>
          <t>Cold Brew or Iced Coffee Maker (Thumbnail)</t>
        </is>
      </c>
      <c r="G17" s="2" t="inlineStr">
        <is>
          <t>否</t>
        </is>
      </c>
      <c r="H17" s="2" t="inlineStr"/>
      <c r="I17" s="2" t="inlineStr">
        <is>
          <t>003_已回写</t>
        </is>
      </c>
      <c r="J17" s="2" t="inlineStr">
        <is>
          <t>success</t>
        </is>
      </c>
      <c r="K17" s="2" t="inlineStr">
        <is>
          <t>pending</t>
        </is>
      </c>
      <c r="L17" s="2" t="inlineStr">
        <is>
          <t>success</t>
        </is>
      </c>
      <c r="M17" s="2" t="inlineStr">
        <is>
          <t>2026-04-17 16:00:32</t>
        </is>
      </c>
      <c r="N17" s="2" t="inlineStr">
        <is>
          <t>github_pages</t>
        </is>
      </c>
      <c r="O17" s="2" t="inlineStr">
        <is>
          <t>UP-20260417-160032</t>
        </is>
      </c>
      <c r="P17" s="2" t="inlineStr">
        <is>
          <t>模拟上传成功</t>
        </is>
      </c>
      <c r="Q17" s="2" t="inlineStr"/>
      <c r="R17" s="2" t="inlineStr">
        <is>
          <t>2026-04-17 16:00:32</t>
        </is>
      </c>
    </row>
    <row r="18" ht="67.5" customHeight="1">
      <c r="A18" s="2" t="n">
        <v>17</v>
      </c>
      <c r="B18" s="2" t="inlineStr">
        <is>
          <t>04/17</t>
        </is>
      </c>
      <c r="C18" s="3">
        <f>HYPERLINK("已上传图片/product-16.jpg","product-16.jpg")</f>
        <v/>
      </c>
      <c r="D18" s="7" t="inlineStr">
        <is>
          <t>室内靠墙场景，木地板、浅色墙面；一款黑色金属框架三层行李架，顶部放置打开的浅色行李箱，箱内装有衣物、洗漱用品等；中层摆放棕色手提包和折叠毛巾，底层放鞋子和拖鞋，底部带滚轮；整体为简洁酒店/家用场景，突出出行整理、行李放置和多层收纳功能。</t>
        </is>
      </c>
      <c r="E18" s="7" t="inlineStr">
        <is>
          <t>酒店行李架</t>
        </is>
      </c>
      <c r="F18" s="8" t="inlineStr">
        <is>
          <t>Luggage Rack with Storage Shelves</t>
        </is>
      </c>
      <c r="G18" s="2" t="inlineStr">
        <is>
          <t>否</t>
        </is>
      </c>
      <c r="H18" s="2" t="inlineStr"/>
      <c r="I18" s="2" t="inlineStr">
        <is>
          <t>003_已回写</t>
        </is>
      </c>
      <c r="J18" s="2" t="inlineStr">
        <is>
          <t>success</t>
        </is>
      </c>
      <c r="K18" s="2" t="inlineStr">
        <is>
          <t>pending</t>
        </is>
      </c>
      <c r="L18" s="2" t="inlineStr">
        <is>
          <t>success</t>
        </is>
      </c>
      <c r="M18" s="2" t="inlineStr">
        <is>
          <t>2026-04-17 16:00:32</t>
        </is>
      </c>
      <c r="N18" s="2" t="inlineStr">
        <is>
          <t>github_pages</t>
        </is>
      </c>
      <c r="O18" s="2" t="inlineStr">
        <is>
          <t>UP-20260417-160032</t>
        </is>
      </c>
      <c r="P18" s="2" t="inlineStr">
        <is>
          <t>模拟上传成功</t>
        </is>
      </c>
      <c r="Q18" s="2" t="inlineStr"/>
      <c r="R18" s="2" t="inlineStr">
        <is>
          <t>2026-04-17 16:00:32</t>
        </is>
      </c>
    </row>
    <row r="19" ht="54" customHeight="1">
      <c r="A19" s="2" t="n">
        <v>18</v>
      </c>
      <c r="B19" s="2" t="inlineStr">
        <is>
          <t>04/17</t>
        </is>
      </c>
      <c r="C19" s="3">
        <f>HYPERLINK("已上传图片/product-17.jpg","product-17.jpg")</f>
        <v/>
      </c>
      <c r="D19" s="7" t="inlineStr">
        <is>
          <t>浅灰或白色背景，单个黑色圆柱形咖啡豆储存罐居中展示，罐身带SOULHAND标识，上方为电子触控或指示灯区域，旁边放有量勺与少量咖啡豆；整体为简洁电商主图风格，突出真空保存、电子操作和密封储存功能。</t>
        </is>
      </c>
      <c r="E19" s="7" t="inlineStr">
        <is>
          <t>真空咖啡豆存储罐</t>
        </is>
      </c>
      <c r="F19" s="8" t="inlineStr">
        <is>
          <t>Vacuum Coffee Canister</t>
        </is>
      </c>
      <c r="G19" s="2" t="inlineStr">
        <is>
          <t>否</t>
        </is>
      </c>
      <c r="H19" s="2" t="inlineStr"/>
      <c r="I19" s="2" t="inlineStr">
        <is>
          <t>003_已回写</t>
        </is>
      </c>
      <c r="J19" s="2" t="inlineStr">
        <is>
          <t>success</t>
        </is>
      </c>
      <c r="K19" s="2" t="inlineStr">
        <is>
          <t>pending</t>
        </is>
      </c>
      <c r="L19" s="2" t="inlineStr">
        <is>
          <t>success</t>
        </is>
      </c>
      <c r="M19" s="2" t="inlineStr">
        <is>
          <t>2026-04-17 16:00:32</t>
        </is>
      </c>
      <c r="N19" s="2" t="inlineStr">
        <is>
          <t>github_pages</t>
        </is>
      </c>
      <c r="O19" s="2" t="inlineStr">
        <is>
          <t>UP-20260417-160032</t>
        </is>
      </c>
      <c r="P19" s="2" t="inlineStr">
        <is>
          <t>模拟上传成功</t>
        </is>
      </c>
      <c r="Q19" s="2" t="inlineStr"/>
      <c r="R19" s="2" t="inlineStr">
        <is>
          <t>2026-04-17 16:00:32</t>
        </is>
      </c>
    </row>
    <row r="20" ht="67.5" customHeight="1">
      <c r="A20" s="2" t="n">
        <v>19</v>
      </c>
      <c r="B20" s="2" t="inlineStr">
        <is>
          <t>04/17</t>
        </is>
      </c>
      <c r="C20" s="3">
        <f>HYPERLINK("已上传图片/product-18.jpg","product-18.jpg")</f>
        <v/>
      </c>
      <c r="D20" s="7" t="inlineStr">
        <is>
          <t>室内家居场景，浅色墙面、大窗帘、圆形地毯，左侧局部有沙发，右侧有编织篮和植物；一把灰绿色/灰色布艺吊椅安装在黑色金属支架上，底部用橙色箭头表示可旋转；整体为简洁现代风格，突出椅子的结构、柔软座椅和旋转底座设计。</t>
        </is>
      </c>
      <c r="E20" s="7" t="inlineStr">
        <is>
          <t>带支架旋转吊椅（空椅场景）</t>
        </is>
      </c>
      <c r="F20" s="8" t="inlineStr">
        <is>
          <t>Swivel Hammock Swing Chair with Stand (Empty)</t>
        </is>
      </c>
      <c r="G20" s="2" t="inlineStr">
        <is>
          <t>否</t>
        </is>
      </c>
      <c r="H20" s="2" t="inlineStr"/>
      <c r="I20" s="2" t="inlineStr">
        <is>
          <t>003_已回写</t>
        </is>
      </c>
      <c r="J20" s="2" t="inlineStr">
        <is>
          <t>success</t>
        </is>
      </c>
      <c r="K20" s="2" t="inlineStr">
        <is>
          <t>pending</t>
        </is>
      </c>
      <c r="L20" s="2" t="inlineStr">
        <is>
          <t>success</t>
        </is>
      </c>
      <c r="M20" s="2" t="inlineStr">
        <is>
          <t>2026-04-17 16:00:32</t>
        </is>
      </c>
      <c r="N20" s="2" t="inlineStr">
        <is>
          <t>github_pages</t>
        </is>
      </c>
      <c r="O20" s="2" t="inlineStr">
        <is>
          <t>UP-20260417-160032</t>
        </is>
      </c>
      <c r="P20" s="2" t="inlineStr">
        <is>
          <t>模拟上传成功</t>
        </is>
      </c>
      <c r="Q20" s="2" t="inlineStr"/>
      <c r="R20" s="2" t="inlineStr">
        <is>
          <t>2026-04-17 16:00:32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2026-04-17T03:06:00Z</dcterms:created>
  <dcterms:modified xmlns:dcterms="http://purl.org/dc/terms/" xmlns:xsi="http://www.w3.org/2001/XMLSchema-instance" xsi:type="dcterms:W3CDTF">2026-04-17T08:36:32Z</dcterms:modified>
  <cp:lastModifiedBy>Win11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82CD37F5838A4C99A7FB34200DB8C146_12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